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801\Documents\Aulas\Excel\Intermediario\"/>
    </mc:Choice>
  </mc:AlternateContent>
  <bookViews>
    <workbookView xWindow="0" yWindow="45" windowWidth="19140" windowHeight="7410"/>
  </bookViews>
  <sheets>
    <sheet name="Plan1" sheetId="1" r:id="rId1"/>
    <sheet name="Plan2" sheetId="2" r:id="rId2"/>
    <sheet name="Plan3" sheetId="3" r:id="rId3"/>
  </sheets>
  <calcPr calcId="162913"/>
</workbook>
</file>

<file path=xl/calcChain.xml><?xml version="1.0" encoding="utf-8"?>
<calcChain xmlns="http://schemas.openxmlformats.org/spreadsheetml/2006/main">
  <c r="J4" i="1" l="1"/>
  <c r="G4" i="1"/>
  <c r="F4" i="1"/>
  <c r="J5" i="1" l="1"/>
  <c r="J6" i="1"/>
  <c r="J7" i="1"/>
  <c r="J8" i="1"/>
  <c r="J9" i="1"/>
  <c r="J10" i="1"/>
  <c r="J11" i="1"/>
  <c r="H5" i="1"/>
  <c r="H6" i="1"/>
  <c r="H7" i="1"/>
  <c r="H8" i="1"/>
  <c r="H9" i="1"/>
  <c r="H10" i="1"/>
  <c r="H11" i="1"/>
  <c r="H4" i="1"/>
  <c r="G5" i="1"/>
  <c r="G6" i="1"/>
  <c r="G7" i="1"/>
  <c r="G8" i="1"/>
  <c r="G9" i="1"/>
  <c r="G10" i="1"/>
  <c r="G11" i="1"/>
  <c r="E4" i="2"/>
  <c r="E3" i="2"/>
  <c r="E2" i="2"/>
  <c r="E5" i="2"/>
  <c r="F5" i="1" l="1"/>
  <c r="F6" i="1"/>
  <c r="F7" i="1"/>
  <c r="F8" i="1"/>
  <c r="F9" i="1"/>
  <c r="F10" i="1"/>
  <c r="F11" i="1"/>
</calcChain>
</file>

<file path=xl/sharedStrings.xml><?xml version="1.0" encoding="utf-8"?>
<sst xmlns="http://schemas.openxmlformats.org/spreadsheetml/2006/main" count="62" uniqueCount="49">
  <si>
    <t>Clientes</t>
  </si>
  <si>
    <t>Qtde de Diárias</t>
  </si>
  <si>
    <t>Tipo de Apartamento</t>
  </si>
  <si>
    <t>Extras</t>
  </si>
  <si>
    <t>Alimentos</t>
  </si>
  <si>
    <t>Bebidas</t>
  </si>
  <si>
    <t>Total Extra</t>
  </si>
  <si>
    <t>Total de Diárias</t>
  </si>
  <si>
    <t>Total Final</t>
  </si>
  <si>
    <t>Desconto</t>
  </si>
  <si>
    <t>Total a Pagar</t>
  </si>
  <si>
    <t>John Lins</t>
  </si>
  <si>
    <t>Jenifer Lira</t>
  </si>
  <si>
    <t>Wesley Dias</t>
  </si>
  <si>
    <t>Hugo Peter</t>
  </si>
  <si>
    <t>Lian Nilson</t>
  </si>
  <si>
    <t>Joana Silva</t>
  </si>
  <si>
    <t>Tommy Klin</t>
  </si>
  <si>
    <t>Klaus Shetter</t>
  </si>
  <si>
    <t>Luxo</t>
  </si>
  <si>
    <t>Simples</t>
  </si>
  <si>
    <t>Presidencial</t>
  </si>
  <si>
    <t>Preço da Diária</t>
  </si>
  <si>
    <t>Controle de Clientes - Hotel Bela Vista</t>
  </si>
  <si>
    <t>NOME</t>
  </si>
  <si>
    <t>IDADE</t>
  </si>
  <si>
    <t>TIPO CARTEIRA</t>
  </si>
  <si>
    <t>FUNÇÃO</t>
  </si>
  <si>
    <t>ALEX</t>
  </si>
  <si>
    <t>BRUNO</t>
  </si>
  <si>
    <t>CARLOS</t>
  </si>
  <si>
    <t>DIEGO</t>
  </si>
  <si>
    <t>A</t>
  </si>
  <si>
    <t>B</t>
  </si>
  <si>
    <t>C</t>
  </si>
  <si>
    <t>D</t>
  </si>
  <si>
    <t>CARTEIRA</t>
  </si>
  <si>
    <t>CATEGORIA</t>
  </si>
  <si>
    <t>E</t>
  </si>
  <si>
    <t>MOTO</t>
  </si>
  <si>
    <t>CARRO</t>
  </si>
  <si>
    <t>CAMINHÃO</t>
  </si>
  <si>
    <t>ÔNIBUS</t>
  </si>
  <si>
    <t>CARRETA</t>
  </si>
  <si>
    <t>ADM</t>
  </si>
  <si>
    <t>FIN</t>
  </si>
  <si>
    <t>SEC</t>
  </si>
  <si>
    <t>DIR</t>
  </si>
  <si>
    <t>DIRIGE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</si>
</sst>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44" fontId="0" fillId="0" borderId="1" xfId="1" applyFont="1" applyBorder="1"/>
    <xf numFmtId="9" fontId="0" fillId="0" borderId="1" xfId="2" applyFont="1" applyBorder="1"/>
    <xf numFmtId="0" fontId="2" fillId="2" borderId="1" xfId="0" applyFont="1" applyFill="1" applyBorder="1" applyAlignment="1">
      <alignment horizontal="center" vertical="center" wrapText="1"/>
    </xf>
    <xf numFmtId="44" fontId="0" fillId="0" borderId="0" xfId="0" applyNumberFormat="1"/>
    <xf numFmtId="0" fontId="1" fillId="0" borderId="0" xfId="0" applyFont="1"/>
    <xf numFmtId="0" fontId="0" fillId="0" borderId="1" xfId="0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44" fontId="3" fillId="0" borderId="1" xfId="0" applyNumberFormat="1" applyFont="1" applyBorder="1"/>
    <xf numFmtId="44" fontId="3" fillId="0" borderId="1" xfId="1" applyFont="1" applyBorder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zoomScale="140" zoomScaleNormal="140" workbookViewId="0">
      <selection activeCell="J4" sqref="J4"/>
    </sheetView>
  </sheetViews>
  <sheetFormatPr defaultRowHeight="15" x14ac:dyDescent="0.25"/>
  <cols>
    <col min="1" max="1" width="13.7109375" customWidth="1"/>
    <col min="2" max="2" width="14.7109375" bestFit="1" customWidth="1"/>
    <col min="3" max="3" width="12.7109375" customWidth="1"/>
    <col min="4" max="6" width="11.140625" bestFit="1" customWidth="1"/>
    <col min="7" max="8" width="12.7109375" bestFit="1" customWidth="1"/>
    <col min="9" max="9" width="9.28515625" bestFit="1" customWidth="1"/>
    <col min="10" max="10" width="14.140625" bestFit="1" customWidth="1"/>
  </cols>
  <sheetData>
    <row r="1" spans="1:10" x14ac:dyDescent="0.25">
      <c r="A1" s="9" t="s">
        <v>23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25">
      <c r="A2" s="8" t="s">
        <v>0</v>
      </c>
      <c r="B2" s="8" t="s">
        <v>1</v>
      </c>
      <c r="C2" s="8" t="s">
        <v>2</v>
      </c>
      <c r="D2" s="8" t="s">
        <v>3</v>
      </c>
      <c r="E2" s="8"/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</row>
    <row r="3" spans="1:10" x14ac:dyDescent="0.25">
      <c r="A3" s="8"/>
      <c r="B3" s="8"/>
      <c r="C3" s="8"/>
      <c r="D3" s="4" t="s">
        <v>4</v>
      </c>
      <c r="E3" s="4" t="s">
        <v>5</v>
      </c>
      <c r="F3" s="8"/>
      <c r="G3" s="8"/>
      <c r="H3" s="8"/>
      <c r="I3" s="8"/>
      <c r="J3" s="8"/>
    </row>
    <row r="4" spans="1:10" x14ac:dyDescent="0.25">
      <c r="A4" s="1" t="s">
        <v>11</v>
      </c>
      <c r="B4" s="1">
        <v>10</v>
      </c>
      <c r="C4" s="1" t="s">
        <v>19</v>
      </c>
      <c r="D4" s="2">
        <v>100</v>
      </c>
      <c r="E4" s="2">
        <v>20</v>
      </c>
      <c r="F4" s="10">
        <f>D4+E4</f>
        <v>120</v>
      </c>
      <c r="G4" s="11">
        <f>VLOOKUP(C4,A$15:B$17,2,FALSE)*B4</f>
        <v>1000</v>
      </c>
      <c r="H4" s="10">
        <f>F4+G4</f>
        <v>1120</v>
      </c>
      <c r="I4" s="3">
        <v>0.1</v>
      </c>
      <c r="J4" s="10">
        <f>H4-H4*I4</f>
        <v>1008</v>
      </c>
    </row>
    <row r="5" spans="1:10" x14ac:dyDescent="0.25">
      <c r="A5" s="1" t="s">
        <v>12</v>
      </c>
      <c r="B5" s="1">
        <v>5</v>
      </c>
      <c r="C5" s="1" t="s">
        <v>20</v>
      </c>
      <c r="D5" s="2">
        <v>45</v>
      </c>
      <c r="E5" s="2">
        <v>15</v>
      </c>
      <c r="F5" s="10">
        <f t="shared" ref="F5:F11" si="0">D5+E5</f>
        <v>60</v>
      </c>
      <c r="G5" s="11">
        <f t="shared" ref="G5:G11" si="1">VLOOKUP(C5,A$15:B$17,2,FALSE)*B5</f>
        <v>375</v>
      </c>
      <c r="H5" s="10">
        <f t="shared" ref="H5:H11" si="2">F5+G5</f>
        <v>435</v>
      </c>
      <c r="I5" s="3">
        <v>0.1</v>
      </c>
      <c r="J5" s="10">
        <f t="shared" ref="J5:J11" si="3">H5-H5*I5</f>
        <v>391.5</v>
      </c>
    </row>
    <row r="6" spans="1:10" x14ac:dyDescent="0.25">
      <c r="A6" s="1" t="s">
        <v>13</v>
      </c>
      <c r="B6" s="1">
        <v>2</v>
      </c>
      <c r="C6" s="1" t="s">
        <v>21</v>
      </c>
      <c r="D6" s="2">
        <v>250</v>
      </c>
      <c r="E6" s="2">
        <v>120</v>
      </c>
      <c r="F6" s="10">
        <f t="shared" si="0"/>
        <v>370</v>
      </c>
      <c r="G6" s="11">
        <f t="shared" si="1"/>
        <v>400</v>
      </c>
      <c r="H6" s="10">
        <f t="shared" si="2"/>
        <v>770</v>
      </c>
      <c r="I6" s="3">
        <v>0.1</v>
      </c>
      <c r="J6" s="10">
        <f t="shared" si="3"/>
        <v>693</v>
      </c>
    </row>
    <row r="7" spans="1:10" x14ac:dyDescent="0.25">
      <c r="A7" s="1" t="s">
        <v>14</v>
      </c>
      <c r="B7" s="1">
        <v>10</v>
      </c>
      <c r="C7" s="1" t="s">
        <v>19</v>
      </c>
      <c r="D7" s="2">
        <v>150</v>
      </c>
      <c r="E7" s="2">
        <v>70</v>
      </c>
      <c r="F7" s="10">
        <f t="shared" si="0"/>
        <v>220</v>
      </c>
      <c r="G7" s="11">
        <f t="shared" si="1"/>
        <v>1000</v>
      </c>
      <c r="H7" s="10">
        <f t="shared" si="2"/>
        <v>1220</v>
      </c>
      <c r="I7" s="3">
        <v>0.1</v>
      </c>
      <c r="J7" s="10">
        <f t="shared" si="3"/>
        <v>1098</v>
      </c>
    </row>
    <row r="8" spans="1:10" x14ac:dyDescent="0.25">
      <c r="A8" s="1" t="s">
        <v>15</v>
      </c>
      <c r="B8" s="1">
        <v>2</v>
      </c>
      <c r="C8" s="1" t="s">
        <v>20</v>
      </c>
      <c r="D8" s="2">
        <v>300</v>
      </c>
      <c r="E8" s="2">
        <v>87</v>
      </c>
      <c r="F8" s="10">
        <f t="shared" si="0"/>
        <v>387</v>
      </c>
      <c r="G8" s="11">
        <f t="shared" si="1"/>
        <v>150</v>
      </c>
      <c r="H8" s="10">
        <f t="shared" si="2"/>
        <v>537</v>
      </c>
      <c r="I8" s="3">
        <v>0.1</v>
      </c>
      <c r="J8" s="10">
        <f t="shared" si="3"/>
        <v>483.3</v>
      </c>
    </row>
    <row r="9" spans="1:10" x14ac:dyDescent="0.25">
      <c r="A9" s="1" t="s">
        <v>16</v>
      </c>
      <c r="B9" s="1">
        <v>1</v>
      </c>
      <c r="C9" s="1" t="s">
        <v>20</v>
      </c>
      <c r="D9" s="2">
        <v>50</v>
      </c>
      <c r="E9" s="2">
        <v>20</v>
      </c>
      <c r="F9" s="10">
        <f t="shared" si="0"/>
        <v>70</v>
      </c>
      <c r="G9" s="11">
        <f t="shared" si="1"/>
        <v>75</v>
      </c>
      <c r="H9" s="10">
        <f t="shared" si="2"/>
        <v>145</v>
      </c>
      <c r="I9" s="3">
        <v>0</v>
      </c>
      <c r="J9" s="10">
        <f t="shared" si="3"/>
        <v>145</v>
      </c>
    </row>
    <row r="10" spans="1:10" x14ac:dyDescent="0.25">
      <c r="A10" s="1" t="s">
        <v>17</v>
      </c>
      <c r="B10" s="1">
        <v>5</v>
      </c>
      <c r="C10" s="1" t="s">
        <v>19</v>
      </c>
      <c r="D10" s="2">
        <v>100</v>
      </c>
      <c r="E10" s="2">
        <v>60</v>
      </c>
      <c r="F10" s="10">
        <f t="shared" si="0"/>
        <v>160</v>
      </c>
      <c r="G10" s="11">
        <f t="shared" si="1"/>
        <v>500</v>
      </c>
      <c r="H10" s="10">
        <f t="shared" si="2"/>
        <v>660</v>
      </c>
      <c r="I10" s="3">
        <v>0.1</v>
      </c>
      <c r="J10" s="10">
        <f t="shared" si="3"/>
        <v>594</v>
      </c>
    </row>
    <row r="11" spans="1:10" x14ac:dyDescent="0.25">
      <c r="A11" s="1" t="s">
        <v>18</v>
      </c>
      <c r="B11" s="1">
        <v>3</v>
      </c>
      <c r="C11" s="1" t="s">
        <v>19</v>
      </c>
      <c r="D11" s="2">
        <v>75</v>
      </c>
      <c r="E11" s="2">
        <v>20</v>
      </c>
      <c r="F11" s="10">
        <f t="shared" si="0"/>
        <v>95</v>
      </c>
      <c r="G11" s="11">
        <f t="shared" si="1"/>
        <v>300</v>
      </c>
      <c r="H11" s="10">
        <f t="shared" si="2"/>
        <v>395</v>
      </c>
      <c r="I11" s="3">
        <v>0</v>
      </c>
      <c r="J11" s="10">
        <f t="shared" si="3"/>
        <v>395</v>
      </c>
    </row>
    <row r="12" spans="1:10" x14ac:dyDescent="0.25">
      <c r="G12" s="6"/>
    </row>
    <row r="14" spans="1:10" ht="30" x14ac:dyDescent="0.25">
      <c r="A14" s="4" t="s">
        <v>2</v>
      </c>
      <c r="B14" s="4" t="s">
        <v>22</v>
      </c>
    </row>
    <row r="15" spans="1:10" x14ac:dyDescent="0.25">
      <c r="A15" s="1" t="s">
        <v>20</v>
      </c>
      <c r="B15" s="2">
        <v>75</v>
      </c>
    </row>
    <row r="16" spans="1:10" x14ac:dyDescent="0.25">
      <c r="A16" s="1" t="s">
        <v>19</v>
      </c>
      <c r="B16" s="2">
        <v>100</v>
      </c>
    </row>
    <row r="17" spans="1:10" x14ac:dyDescent="0.25">
      <c r="A17" s="1" t="s">
        <v>21</v>
      </c>
      <c r="B17" s="2">
        <v>200</v>
      </c>
      <c r="J17" s="5"/>
    </row>
  </sheetData>
  <mergeCells count="10">
    <mergeCell ref="H2:H3"/>
    <mergeCell ref="I2:I3"/>
    <mergeCell ref="J2:J3"/>
    <mergeCell ref="A1:J1"/>
    <mergeCell ref="A2:A3"/>
    <mergeCell ref="B2:B3"/>
    <mergeCell ref="C2:C3"/>
    <mergeCell ref="D2:E2"/>
    <mergeCell ref="F2:F3"/>
    <mergeCell ref="G2:G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zoomScale="200" zoomScaleNormal="200" workbookViewId="0">
      <selection activeCell="E4" sqref="E4"/>
    </sheetView>
  </sheetViews>
  <sheetFormatPr defaultRowHeight="15" x14ac:dyDescent="0.25"/>
  <cols>
    <col min="2" max="2" width="11.140625" bestFit="1" customWidth="1"/>
    <col min="3" max="3" width="14.28515625" bestFit="1" customWidth="1"/>
    <col min="5" max="5" width="11.140625" bestFit="1" customWidth="1"/>
  </cols>
  <sheetData>
    <row r="1" spans="1:5" x14ac:dyDescent="0.25">
      <c r="A1" s="1" t="s">
        <v>24</v>
      </c>
      <c r="B1" s="1" t="s">
        <v>25</v>
      </c>
      <c r="C1" s="1" t="s">
        <v>26</v>
      </c>
      <c r="D1" s="1" t="s">
        <v>27</v>
      </c>
      <c r="E1" s="7" t="s">
        <v>48</v>
      </c>
    </row>
    <row r="2" spans="1:5" x14ac:dyDescent="0.25">
      <c r="A2" s="1" t="s">
        <v>28</v>
      </c>
      <c r="B2" s="1">
        <v>18</v>
      </c>
      <c r="C2" s="1" t="s">
        <v>32</v>
      </c>
      <c r="D2" s="1" t="s">
        <v>44</v>
      </c>
      <c r="E2" s="1" t="str">
        <f>VLOOKUP(C2,A$9:B$13,2,FALSE)</f>
        <v>MOTO</v>
      </c>
    </row>
    <row r="3" spans="1:5" x14ac:dyDescent="0.25">
      <c r="A3" s="1" t="s">
        <v>29</v>
      </c>
      <c r="B3" s="1">
        <v>19</v>
      </c>
      <c r="C3" s="1" t="s">
        <v>33</v>
      </c>
      <c r="D3" s="1" t="s">
        <v>45</v>
      </c>
      <c r="E3" s="1" t="str">
        <f>VLOOKUP(C3,A$9:B$13,2,FALSE)</f>
        <v>CARRO</v>
      </c>
    </row>
    <row r="4" spans="1:5" x14ac:dyDescent="0.25">
      <c r="A4" s="1" t="s">
        <v>30</v>
      </c>
      <c r="B4" s="1">
        <v>20</v>
      </c>
      <c r="C4" s="1" t="s">
        <v>34</v>
      </c>
      <c r="D4" s="1" t="s">
        <v>46</v>
      </c>
      <c r="E4" s="1" t="str">
        <f>VLOOKUP(C4,A$9:B$13,2,FALSE)</f>
        <v>CAMINHÃO</v>
      </c>
    </row>
    <row r="5" spans="1:5" x14ac:dyDescent="0.25">
      <c r="A5" s="1" t="s">
        <v>31</v>
      </c>
      <c r="B5" s="1">
        <v>21</v>
      </c>
      <c r="C5" s="1" t="s">
        <v>35</v>
      </c>
      <c r="D5" s="1" t="s">
        <v>47</v>
      </c>
      <c r="E5" s="1" t="str">
        <f t="shared" ref="E5" si="0">VLOOKUP(C5,A$9:B$13,2,FALSE)</f>
        <v>ÔNIBUS</v>
      </c>
    </row>
    <row r="8" spans="1:5" x14ac:dyDescent="0.25">
      <c r="A8" s="1" t="s">
        <v>36</v>
      </c>
      <c r="B8" s="1" t="s">
        <v>37</v>
      </c>
    </row>
    <row r="9" spans="1:5" x14ac:dyDescent="0.25">
      <c r="A9" s="1" t="s">
        <v>32</v>
      </c>
      <c r="B9" s="1" t="s">
        <v>39</v>
      </c>
    </row>
    <row r="10" spans="1:5" x14ac:dyDescent="0.25">
      <c r="A10" s="1" t="s">
        <v>33</v>
      </c>
      <c r="B10" s="1" t="s">
        <v>40</v>
      </c>
    </row>
    <row r="11" spans="1:5" x14ac:dyDescent="0.25">
      <c r="A11" s="1" t="s">
        <v>34</v>
      </c>
      <c r="B11" s="1" t="s">
        <v>41</v>
      </c>
    </row>
    <row r="12" spans="1:5" x14ac:dyDescent="0.25">
      <c r="A12" s="1" t="s">
        <v>35</v>
      </c>
      <c r="B12" s="1" t="s">
        <v>42</v>
      </c>
    </row>
    <row r="13" spans="1:5" x14ac:dyDescent="0.25">
      <c r="A13" s="1" t="s">
        <v>38</v>
      </c>
      <c r="B13" s="1" t="s">
        <v>43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ADM801</dc:creator>
  <cp:lastModifiedBy>ADM801</cp:lastModifiedBy>
  <dcterms:created xsi:type="dcterms:W3CDTF">2014-05-21T16:21:58Z</dcterms:created>
  <dcterms:modified xsi:type="dcterms:W3CDTF">2019-10-18T14:37:09Z</dcterms:modified>
</cp:coreProperties>
</file>