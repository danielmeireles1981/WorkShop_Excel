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801\Documents\Aulas\Excel\Intermediario\"/>
    </mc:Choice>
  </mc:AlternateContent>
  <bookViews>
    <workbookView xWindow="0" yWindow="45" windowWidth="19140" windowHeight="7410"/>
  </bookViews>
  <sheets>
    <sheet name="Plan1" sheetId="1" r:id="rId1"/>
    <sheet name="Plan2" sheetId="2" r:id="rId2"/>
    <sheet name="Plan3" sheetId="3" r:id="rId3"/>
  </sheets>
  <calcPr calcId="162913"/>
  <fileRecoveryPr repairLoad="1"/>
</workbook>
</file>

<file path=xl/calcChain.xml><?xml version="1.0" encoding="utf-8"?>
<calcChain xmlns="http://schemas.openxmlformats.org/spreadsheetml/2006/main">
  <c r="E16" i="1" l="1"/>
  <c r="E3" i="1"/>
  <c r="G4" i="1" l="1"/>
  <c r="G5" i="1"/>
  <c r="G6" i="1"/>
  <c r="G7" i="1"/>
  <c r="G8" i="1"/>
  <c r="G9" i="1"/>
  <c r="G10" i="1"/>
  <c r="G11" i="1"/>
  <c r="G12" i="1"/>
  <c r="G13" i="1"/>
  <c r="G3" i="1"/>
  <c r="E4" i="1"/>
  <c r="E5" i="1"/>
  <c r="E6" i="1"/>
  <c r="E7" i="1"/>
  <c r="E17" i="1" s="1"/>
  <c r="E8" i="1"/>
  <c r="E18" i="1" s="1"/>
  <c r="E9" i="1"/>
  <c r="E10" i="1"/>
  <c r="E11" i="1"/>
  <c r="E12" i="1"/>
  <c r="E19" i="1" s="1"/>
  <c r="E13" i="1"/>
</calcChain>
</file>

<file path=xl/sharedStrings.xml><?xml version="1.0" encoding="utf-8"?>
<sst xmlns="http://schemas.openxmlformats.org/spreadsheetml/2006/main" count="39" uniqueCount="27">
  <si>
    <t>Carro</t>
  </si>
  <si>
    <t>Marca</t>
  </si>
  <si>
    <t>Qtde</t>
  </si>
  <si>
    <t>Valor Unitário</t>
  </si>
  <si>
    <t>Valor Total</t>
  </si>
  <si>
    <t>Tipo</t>
  </si>
  <si>
    <t>Desconto</t>
  </si>
  <si>
    <t>Corsa</t>
  </si>
  <si>
    <t>S10</t>
  </si>
  <si>
    <t>Silverado</t>
  </si>
  <si>
    <t>Omega</t>
  </si>
  <si>
    <t>Stilo</t>
  </si>
  <si>
    <t>Fiesta</t>
  </si>
  <si>
    <t>KA</t>
  </si>
  <si>
    <t>Courrier</t>
  </si>
  <si>
    <t>Vectra</t>
  </si>
  <si>
    <t>Golf</t>
  </si>
  <si>
    <t>Fox</t>
  </si>
  <si>
    <t>GM</t>
  </si>
  <si>
    <t>Fiat</t>
  </si>
  <si>
    <t>Ford</t>
  </si>
  <si>
    <t>VW</t>
  </si>
  <si>
    <t>Concessionária SN</t>
  </si>
  <si>
    <t>Descontos</t>
  </si>
  <si>
    <t>%</t>
  </si>
  <si>
    <t>Marcas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</si>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</sst>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44" fontId="0" fillId="0" borderId="1" xfId="1" applyFont="1" applyBorder="1"/>
    <xf numFmtId="9" fontId="0" fillId="0" borderId="1" xfId="2" applyFont="1" applyBorder="1"/>
    <xf numFmtId="44" fontId="2" fillId="0" borderId="1" xfId="0" applyNumberFormat="1" applyFont="1" applyBorder="1"/>
    <xf numFmtId="9" fontId="2" fillId="0" borderId="1" xfId="2" applyNumberFormat="1" applyFont="1" applyBorder="1"/>
    <xf numFmtId="44" fontId="2" fillId="0" borderId="1" xfId="1" applyFont="1" applyBorder="1"/>
    <xf numFmtId="0" fontId="0" fillId="2" borderId="1" xfId="0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Totais de Carros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Plan1!$A$3</c:f>
              <c:strCache>
                <c:ptCount val="1"/>
                <c:pt idx="0">
                  <c:v>Corsa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Plan1!$C$3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C-4B73-B778-AAEAE31EC4E1}"/>
            </c:ext>
          </c:extLst>
        </c:ser>
        <c:ser>
          <c:idx val="1"/>
          <c:order val="1"/>
          <c:tx>
            <c:strRef>
              <c:f>Plan1!$A$4</c:f>
              <c:strCache>
                <c:ptCount val="1"/>
                <c:pt idx="0">
                  <c:v>S10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Plan1!$C$4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EFC-4B73-B778-AAEAE31EC4E1}"/>
            </c:ext>
          </c:extLst>
        </c:ser>
        <c:ser>
          <c:idx val="2"/>
          <c:order val="2"/>
          <c:tx>
            <c:strRef>
              <c:f>Plan1!$A$5</c:f>
              <c:strCache>
                <c:ptCount val="1"/>
                <c:pt idx="0">
                  <c:v>Silverado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FC-4B73-B778-AAEAE31EC4E1}"/>
            </c:ext>
          </c:extLst>
        </c:ser>
        <c:ser>
          <c:idx val="3"/>
          <c:order val="3"/>
          <c:tx>
            <c:strRef>
              <c:f>Plan1!$A$6</c:f>
              <c:strCache>
                <c:ptCount val="1"/>
                <c:pt idx="0">
                  <c:v>Omega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Plan1!$C$6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EFC-4B73-B778-AAEAE31EC4E1}"/>
            </c:ext>
          </c:extLst>
        </c:ser>
        <c:ser>
          <c:idx val="4"/>
          <c:order val="4"/>
          <c:tx>
            <c:strRef>
              <c:f>Plan1!$A$7</c:f>
              <c:strCache>
                <c:ptCount val="1"/>
                <c:pt idx="0">
                  <c:v>Stilo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FC-4B73-B778-AAEAE31EC4E1}"/>
            </c:ext>
          </c:extLst>
        </c:ser>
        <c:ser>
          <c:idx val="5"/>
          <c:order val="5"/>
          <c:tx>
            <c:strRef>
              <c:f>Plan1!$A$8</c:f>
              <c:strCache>
                <c:ptCount val="1"/>
                <c:pt idx="0">
                  <c:v>Fiesta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Plan1!$C$8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EFC-4B73-B778-AAEAE31EC4E1}"/>
            </c:ext>
          </c:extLst>
        </c:ser>
        <c:ser>
          <c:idx val="6"/>
          <c:order val="6"/>
          <c:tx>
            <c:strRef>
              <c:f>Plan1!$A$9</c:f>
              <c:strCache>
                <c:ptCount val="1"/>
                <c:pt idx="0">
                  <c:v>KA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Plan1!$C$9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EFC-4B73-B778-AAEAE31EC4E1}"/>
            </c:ext>
          </c:extLst>
        </c:ser>
        <c:ser>
          <c:idx val="7"/>
          <c:order val="7"/>
          <c:tx>
            <c:strRef>
              <c:f>Plan1!$A$10</c:f>
              <c:strCache>
                <c:ptCount val="1"/>
                <c:pt idx="0">
                  <c:v>Courrier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Plan1!$C$10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EFC-4B73-B778-AAEAE31EC4E1}"/>
            </c:ext>
          </c:extLst>
        </c:ser>
        <c:ser>
          <c:idx val="8"/>
          <c:order val="8"/>
          <c:tx>
            <c:strRef>
              <c:f>Plan1!$A$11</c:f>
              <c:strCache>
                <c:ptCount val="1"/>
                <c:pt idx="0">
                  <c:v>Vectra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Plan1!$C$11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EFC-4B73-B778-AAEAE31EC4E1}"/>
            </c:ext>
          </c:extLst>
        </c:ser>
        <c:ser>
          <c:idx val="9"/>
          <c:order val="9"/>
          <c:tx>
            <c:strRef>
              <c:f>Plan1!$A$12</c:f>
              <c:strCache>
                <c:ptCount val="1"/>
                <c:pt idx="0">
                  <c:v>Golf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Plan1!$C$12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EFC-4B73-B778-AAEAE31EC4E1}"/>
            </c:ext>
          </c:extLst>
        </c:ser>
        <c:ser>
          <c:idx val="10"/>
          <c:order val="10"/>
          <c:tx>
            <c:strRef>
              <c:f>Plan1!$A$13</c:f>
              <c:strCache>
                <c:ptCount val="1"/>
                <c:pt idx="0">
                  <c:v>Fox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Plan1!$C$2</c:f>
              <c:strCache>
                <c:ptCount val="1"/>
                <c:pt idx="0">
                  <c:v>Qtde</c:v>
                </c:pt>
              </c:strCache>
            </c:strRef>
          </c:cat>
          <c:val>
            <c:numRef>
              <c:f>Plan1!$C$13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EFC-4B73-B778-AAEAE31EC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664256"/>
        <c:axId val="59665792"/>
      </c:barChart>
      <c:catAx>
        <c:axId val="59664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9665792"/>
        <c:crosses val="autoZero"/>
        <c:auto val="1"/>
        <c:lblAlgn val="ctr"/>
        <c:lblOffset val="100"/>
        <c:noMultiLvlLbl val="0"/>
      </c:catAx>
      <c:valAx>
        <c:axId val="5966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66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130629</xdr:colOff>
      <xdr:row>19</xdr:row>
      <xdr:rowOff>116478</xdr:rowOff>
    </xdr:from>
    <xdr:to>
      <xdr:col>6</xdr:col>
      <xdr:colOff>505914</xdr:colOff>
      <xdr:row>35</xdr:row>
      <xdr:rowOff>36468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selection activeCell="G16" sqref="G16"/>
    </sheetView>
  </sheetViews>
  <sheetFormatPr defaultRowHeight="15" x14ac:dyDescent="0.25"/>
  <cols>
    <col min="1" max="1" width="8.5703125" bestFit="1" customWidth="1"/>
    <col min="2" max="2" width="6.42578125" bestFit="1" customWidth="1"/>
    <col min="3" max="3" width="9.28515625" bestFit="1" customWidth="1"/>
    <col min="4" max="4" width="13.42578125" bestFit="1" customWidth="1"/>
    <col min="5" max="5" width="17.140625" bestFit="1" customWidth="1"/>
    <col min="6" max="7" width="9.28515625" bestFit="1" customWidth="1"/>
  </cols>
  <sheetData>
    <row r="1" spans="1:7" x14ac:dyDescent="0.25">
      <c r="A1" s="9" t="s">
        <v>22</v>
      </c>
      <c r="B1" s="9"/>
      <c r="C1" s="9"/>
      <c r="D1" s="9"/>
      <c r="E1" s="9"/>
      <c r="F1" s="9"/>
      <c r="G1" s="9"/>
    </row>
    <row r="2" spans="1: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s="1" t="s">
        <v>7</v>
      </c>
      <c r="B3" s="1" t="s">
        <v>18</v>
      </c>
      <c r="C3" s="1">
        <v>100</v>
      </c>
      <c r="D3" s="4">
        <v>14500</v>
      </c>
      <c r="E3" s="6">
        <f>C3*D3</f>
        <v>1450000</v>
      </c>
      <c r="F3" s="1">
        <v>1</v>
      </c>
      <c r="G3" s="7">
        <f>VLOOKUP(F3,A$17:B$19,2,FALSE)</f>
        <v>0</v>
      </c>
    </row>
    <row r="4" spans="1:7" x14ac:dyDescent="0.25">
      <c r="A4" s="1" t="s">
        <v>8</v>
      </c>
      <c r="B4" s="1" t="s">
        <v>18</v>
      </c>
      <c r="C4" s="1">
        <v>200</v>
      </c>
      <c r="D4" s="4">
        <v>16000</v>
      </c>
      <c r="E4" s="6">
        <f t="shared" ref="E4:E13" si="0">C4*D4</f>
        <v>3200000</v>
      </c>
      <c r="F4" s="1">
        <v>2</v>
      </c>
      <c r="G4" s="7">
        <f t="shared" ref="G4:G13" si="1">VLOOKUP(F4,A$17:B$19,2,FALSE)</f>
        <v>0.1</v>
      </c>
    </row>
    <row r="5" spans="1:7" x14ac:dyDescent="0.25">
      <c r="A5" s="1" t="s">
        <v>9</v>
      </c>
      <c r="B5" s="1" t="s">
        <v>18</v>
      </c>
      <c r="C5" s="1">
        <v>400</v>
      </c>
      <c r="D5" s="4">
        <v>31000</v>
      </c>
      <c r="E5" s="6">
        <f t="shared" si="0"/>
        <v>12400000</v>
      </c>
      <c r="F5" s="1">
        <v>2</v>
      </c>
      <c r="G5" s="7">
        <f t="shared" si="1"/>
        <v>0.1</v>
      </c>
    </row>
    <row r="6" spans="1:7" x14ac:dyDescent="0.25">
      <c r="A6" s="1" t="s">
        <v>10</v>
      </c>
      <c r="B6" s="1" t="s">
        <v>18</v>
      </c>
      <c r="C6" s="1">
        <v>200</v>
      </c>
      <c r="D6" s="4">
        <v>35000</v>
      </c>
      <c r="E6" s="6">
        <f t="shared" si="0"/>
        <v>7000000</v>
      </c>
      <c r="F6" s="1">
        <v>2</v>
      </c>
      <c r="G6" s="7">
        <f t="shared" si="1"/>
        <v>0.1</v>
      </c>
    </row>
    <row r="7" spans="1:7" x14ac:dyDescent="0.25">
      <c r="A7" s="1" t="s">
        <v>11</v>
      </c>
      <c r="B7" s="1" t="s">
        <v>19</v>
      </c>
      <c r="C7" s="1">
        <v>50</v>
      </c>
      <c r="D7" s="4">
        <v>34000</v>
      </c>
      <c r="E7" s="6">
        <f t="shared" si="0"/>
        <v>1700000</v>
      </c>
      <c r="F7" s="1">
        <v>3</v>
      </c>
      <c r="G7" s="7">
        <f t="shared" si="1"/>
        <v>0.2</v>
      </c>
    </row>
    <row r="8" spans="1:7" x14ac:dyDescent="0.25">
      <c r="A8" s="1" t="s">
        <v>12</v>
      </c>
      <c r="B8" s="1" t="s">
        <v>20</v>
      </c>
      <c r="C8" s="1">
        <v>100</v>
      </c>
      <c r="D8" s="4">
        <v>21000</v>
      </c>
      <c r="E8" s="6">
        <f t="shared" si="0"/>
        <v>2100000</v>
      </c>
      <c r="F8" s="1">
        <v>1</v>
      </c>
      <c r="G8" s="7">
        <f t="shared" si="1"/>
        <v>0</v>
      </c>
    </row>
    <row r="9" spans="1:7" x14ac:dyDescent="0.25">
      <c r="A9" s="1" t="s">
        <v>13</v>
      </c>
      <c r="B9" s="1" t="s">
        <v>20</v>
      </c>
      <c r="C9" s="1">
        <v>100</v>
      </c>
      <c r="D9" s="4">
        <v>16000</v>
      </c>
      <c r="E9" s="6">
        <f t="shared" si="0"/>
        <v>1600000</v>
      </c>
      <c r="F9" s="1">
        <v>1</v>
      </c>
      <c r="G9" s="7">
        <f t="shared" si="1"/>
        <v>0</v>
      </c>
    </row>
    <row r="10" spans="1:7" x14ac:dyDescent="0.25">
      <c r="A10" s="1" t="s">
        <v>14</v>
      </c>
      <c r="B10" s="1" t="s">
        <v>20</v>
      </c>
      <c r="C10" s="1">
        <v>40</v>
      </c>
      <c r="D10" s="4">
        <v>12500</v>
      </c>
      <c r="E10" s="6">
        <f t="shared" si="0"/>
        <v>500000</v>
      </c>
      <c r="F10" s="1">
        <v>3</v>
      </c>
      <c r="G10" s="7">
        <f t="shared" si="1"/>
        <v>0.2</v>
      </c>
    </row>
    <row r="11" spans="1:7" x14ac:dyDescent="0.25">
      <c r="A11" s="1" t="s">
        <v>15</v>
      </c>
      <c r="B11" s="1" t="s">
        <v>18</v>
      </c>
      <c r="C11" s="1">
        <v>50</v>
      </c>
      <c r="D11" s="4">
        <v>28000</v>
      </c>
      <c r="E11" s="6">
        <f t="shared" si="0"/>
        <v>1400000</v>
      </c>
      <c r="F11" s="1">
        <v>3</v>
      </c>
      <c r="G11" s="7">
        <f t="shared" si="1"/>
        <v>0.2</v>
      </c>
    </row>
    <row r="12" spans="1:7" x14ac:dyDescent="0.25">
      <c r="A12" s="1" t="s">
        <v>16</v>
      </c>
      <c r="B12" s="1" t="s">
        <v>21</v>
      </c>
      <c r="C12" s="1">
        <v>10</v>
      </c>
      <c r="D12" s="4">
        <v>52000</v>
      </c>
      <c r="E12" s="6">
        <f t="shared" si="0"/>
        <v>520000</v>
      </c>
      <c r="F12" s="1">
        <v>1</v>
      </c>
      <c r="G12" s="7">
        <f t="shared" si="1"/>
        <v>0</v>
      </c>
    </row>
    <row r="13" spans="1:7" x14ac:dyDescent="0.25">
      <c r="A13" s="1" t="s">
        <v>17</v>
      </c>
      <c r="B13" s="1" t="s">
        <v>21</v>
      </c>
      <c r="C13" s="1">
        <v>100</v>
      </c>
      <c r="D13" s="4">
        <v>34000</v>
      </c>
      <c r="E13" s="6">
        <f t="shared" si="0"/>
        <v>3400000</v>
      </c>
      <c r="F13" s="1">
        <v>1</v>
      </c>
      <c r="G13" s="7">
        <f t="shared" si="1"/>
        <v>0</v>
      </c>
    </row>
    <row r="15" spans="1:7" x14ac:dyDescent="0.25">
      <c r="A15" s="9" t="s">
        <v>23</v>
      </c>
      <c r="B15" s="9"/>
      <c r="D15" s="2" t="s">
        <v>25</v>
      </c>
      <c r="E15" s="2" t="s">
        <v>26</v>
      </c>
    </row>
    <row r="16" spans="1:7" x14ac:dyDescent="0.25">
      <c r="A16" s="2" t="s">
        <v>5</v>
      </c>
      <c r="B16" s="2" t="s">
        <v>24</v>
      </c>
      <c r="D16" s="1" t="s">
        <v>18</v>
      </c>
      <c r="E16" s="8">
        <f>SUMIF(B$3:B$13,D16,E$3:E$13)</f>
        <v>25450000</v>
      </c>
    </row>
    <row r="17" spans="1:5" x14ac:dyDescent="0.25">
      <c r="A17" s="1">
        <v>1</v>
      </c>
      <c r="B17" s="5">
        <v>0</v>
      </c>
      <c r="D17" s="1" t="s">
        <v>19</v>
      </c>
      <c r="E17" s="8">
        <f t="shared" ref="E17:E19" si="2">SUMIF(B$3:B$13,D17,E$3:E$13)</f>
        <v>1700000</v>
      </c>
    </row>
    <row r="18" spans="1:5" x14ac:dyDescent="0.25">
      <c r="A18" s="1">
        <v>2</v>
      </c>
      <c r="B18" s="5">
        <v>0.1</v>
      </c>
      <c r="D18" s="1" t="s">
        <v>20</v>
      </c>
      <c r="E18" s="8">
        <f t="shared" si="2"/>
        <v>4200000</v>
      </c>
    </row>
    <row r="19" spans="1:5" x14ac:dyDescent="0.25">
      <c r="A19" s="1">
        <v>3</v>
      </c>
      <c r="B19" s="5">
        <v>0.2</v>
      </c>
      <c r="D19" s="1" t="s">
        <v>21</v>
      </c>
      <c r="E19" s="8">
        <f t="shared" si="2"/>
        <v>3920000</v>
      </c>
    </row>
  </sheetData>
  <mergeCells count="2">
    <mergeCell ref="A1:G1"/>
    <mergeCell ref="A15:B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ADM801</dc:creator>
  <cp:lastModifiedBy>ADM801</cp:lastModifiedBy>
  <dcterms:created xsi:type="dcterms:W3CDTF">2014-05-21T17:26:02Z</dcterms:created>
  <dcterms:modified xsi:type="dcterms:W3CDTF">2019-10-18T14:37:03Z</dcterms:modified>
</cp:coreProperties>
</file>